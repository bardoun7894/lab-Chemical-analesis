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gcpipes-my.sharepoint.com/personal/a_elkomy_gcpipes_com/Documents/Desktop/"/>
    </mc:Choice>
  </mc:AlternateContent>
  <xr:revisionPtr revIDLastSave="81" documentId="8_{E3B2E10B-9F84-46C9-B365-BE39A2C03EFB}" xr6:coauthVersionLast="47" xr6:coauthVersionMax="47" xr10:uidLastSave="{736FDEB4-61C9-47E4-B984-48DF06CAF80C}"/>
  <bookViews>
    <workbookView xWindow="-108" yWindow="-108" windowWidth="23256" windowHeight="12456" xr2:uid="{00000000-000D-0000-FFFF-FFFF00000000}"/>
  </bookViews>
  <sheets>
    <sheet name="Sheet2" sheetId="3" r:id="rId1"/>
  </sheets>
  <definedNames>
    <definedName name="_xlnm.Print_Area" localSheetId="0">Sheet2!$A$1:$N$63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9" i="3" l="1"/>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alcChain>
</file>

<file path=xl/sharedStrings.xml><?xml version="1.0" encoding="utf-8"?>
<sst xmlns="http://schemas.openxmlformats.org/spreadsheetml/2006/main" count="108" uniqueCount="106">
  <si>
    <t>CERTIFICATE NO. / رقم الشهادة</t>
  </si>
  <si>
    <t>DATE / التاريخ</t>
  </si>
  <si>
    <t>Customer Name / اسم العميل</t>
  </si>
  <si>
    <t>Job Order No. / رقم أمر التوريد</t>
  </si>
  <si>
    <t>Project Name / اسم المشروع</t>
  </si>
  <si>
    <t>MATERIAL DETAILS  /  بيانات المواد</t>
  </si>
  <si>
    <t>Description / الوصف</t>
  </si>
  <si>
    <t>DN (mm)</t>
  </si>
  <si>
    <t>Class / الفئة</t>
  </si>
  <si>
    <t>Length (m)
الطول</t>
  </si>
  <si>
    <t>QTY / الكمية</t>
  </si>
  <si>
    <t>INSPECTION &amp; TEST RESULTS  /  نتائج الفحص والاختبار</t>
  </si>
  <si>
    <t>1.  CHEMICAL ANALYSIS  /  التحليل الكيميائي</t>
  </si>
  <si>
    <t>Quality Control Manager / مدير مراقبة الجودة</t>
  </si>
  <si>
    <t>Quality Assurance Manager / مدير ضمان الجودة</t>
  </si>
  <si>
    <t>AL Derah Contracting Company</t>
  </si>
  <si>
    <t>USAID Non-Revenue Water Project Phase III 
Implementation of Water Loss Reduction Activities in the Jordan Valley Service 
Area/ FARA Package 3 Project. 
PROJECT 1: Construct and commission a new pump station and pipeline to 
increase water supply efficiency and reduce water losses for parts of the Southern 
Ghor at the downstream of Mujib diversion weir 
PROJECT 2: Construct a pipeline between Al-Hadetheh storage pond and the Mujib 
transmission pipeline 
TENDER NO. (FARA/4/2024)</t>
  </si>
  <si>
    <t xml:space="preserve">Ductile Iron - Centrifugally Casted Socket Spigot Pipe DN600 Class C30 
Length 6 Meters Zinc Aluminum Coating 400 gm/m² (Coated internal Sulphate 
resistant cement, External Epoxy). </t>
  </si>
  <si>
    <t>C30</t>
  </si>
  <si>
    <t>Deraya /2026/3</t>
  </si>
  <si>
    <t>16 / 4 / 2026</t>
  </si>
  <si>
    <t>We hereby certify that the above results comply with the requirements of ISO 2531 / EN 545 and the specified customer requirements. This certificate is issued in accordance with EN 10204 Type 3.1.
نشهد بأن النتائج أعلاه تتوافق مع متطلبات الايزو 2531 ومتطلبات العميل المحددة.</t>
  </si>
  <si>
    <t>Name:            علاء عبد الغنى 
Signature : _____________________</t>
  </si>
  <si>
    <t>Name:      احمد رمضان  
Signature : _____________________</t>
  </si>
  <si>
    <t>1--2026</t>
  </si>
  <si>
    <t xml:space="preserve">This Certificate certifies that the Centrifugally Cast (Spun) Ductile Iron Pipes (suitable for socket &amp; spigot push-on joint as detailed below) have been manufactured and tested by our factory in accordance with ISO 2531, and all test results were satisfactory.
تشهد شركة جي سي بي أن مواسير الزهر المرن المصنوعة بالطرد المركزي قد تم تصنيعها واختبارها وفقاً للمواصفه ايزو 2531 وأن جميع نتائج الاختبارات كانت مُرضية .
</t>
  </si>
  <si>
    <t>م</t>
  </si>
  <si>
    <t xml:space="preserve">chemical analysis التحليل الكميائي  </t>
  </si>
  <si>
    <r>
      <rPr>
        <b/>
        <sz val="28"/>
        <rFont val="Calibri"/>
        <family val="2"/>
      </rPr>
      <t>MTC</t>
    </r>
    <r>
      <rPr>
        <b/>
        <sz val="24"/>
        <rFont val="Calibri"/>
        <family val="2"/>
      </rPr>
      <t xml:space="preserve"> 
شهادة فحص المواد</t>
    </r>
  </si>
  <si>
    <t>Mechanical properties  الخواص الميكانيكية</t>
  </si>
  <si>
    <t>Hardnes(HB)</t>
  </si>
  <si>
    <t>Elongtion %</t>
  </si>
  <si>
    <r>
      <t>Tensile strength(Mpa</t>
    </r>
    <r>
      <rPr>
        <b/>
        <sz val="16"/>
        <color theme="1"/>
        <rFont val="Segoe UI Emoji"/>
        <family val="2"/>
      </rPr>
      <t>)</t>
    </r>
  </si>
  <si>
    <r>
      <t>CE</t>
    </r>
    <r>
      <rPr>
        <b/>
        <strike/>
        <sz val="14"/>
        <color theme="1"/>
        <rFont val="Calibri"/>
        <family val="2"/>
        <scheme val="minor"/>
      </rPr>
      <t>%</t>
    </r>
  </si>
  <si>
    <t>Mn%</t>
  </si>
  <si>
    <t>S%</t>
  </si>
  <si>
    <t>Cr%</t>
  </si>
  <si>
    <t>Cu%</t>
  </si>
  <si>
    <t>Mg%</t>
  </si>
  <si>
    <t>Si%</t>
  </si>
  <si>
    <t>C%</t>
  </si>
  <si>
    <t>Batch#</t>
  </si>
  <si>
    <t>Mg</t>
  </si>
  <si>
    <t>CE</t>
  </si>
  <si>
    <t>Mn</t>
  </si>
  <si>
    <t>S</t>
  </si>
  <si>
    <t>Cr</t>
  </si>
  <si>
    <t>Cu</t>
  </si>
  <si>
    <t>Si</t>
  </si>
  <si>
    <t>C</t>
  </si>
  <si>
    <t>0.030: 0.070</t>
  </si>
  <si>
    <t>0.15: 0.45</t>
  </si>
  <si>
    <t>Max. 0.015</t>
  </si>
  <si>
    <t>Max. 0.05</t>
  </si>
  <si>
    <t>Max. 0.08</t>
  </si>
  <si>
    <t>1.8: 2.8</t>
  </si>
  <si>
    <t>3.00: 4.20</t>
  </si>
  <si>
    <t>Elongation (%)</t>
  </si>
  <si>
    <t>Standard</t>
  </si>
  <si>
    <t>Min. :10%</t>
  </si>
  <si>
    <t>Min. : 420 (MPa )</t>
  </si>
  <si>
    <t>Tensile Strength (MPa )</t>
  </si>
  <si>
    <t>Hardnes (HB)</t>
  </si>
  <si>
    <t>Max. 230</t>
  </si>
  <si>
    <t>ISO 2531</t>
  </si>
  <si>
    <t>2.  Mechanical properties  الخواص الميكانيكية</t>
  </si>
  <si>
    <t>Standard Values</t>
  </si>
  <si>
    <t>Elements</t>
  </si>
  <si>
    <t>Test</t>
  </si>
  <si>
    <t xml:space="preserve"> ASTM A536
LAB-DOC-8.1.1
</t>
  </si>
  <si>
    <t>Shift &amp; DATE</t>
  </si>
  <si>
    <t>Heat #= Ladle No.&amp; Date</t>
  </si>
  <si>
    <t>heat no</t>
  </si>
  <si>
    <t>24/11/2/2026</t>
  </si>
  <si>
    <t>25/11/2/2026</t>
  </si>
  <si>
    <t>26/11/2/2026</t>
  </si>
  <si>
    <t>27/11/2/2026</t>
  </si>
  <si>
    <t>38/11/2/2026</t>
  </si>
  <si>
    <t>39/11/2/2026</t>
  </si>
  <si>
    <t>3/12/2/2026</t>
  </si>
  <si>
    <t>4/12/2/2026</t>
  </si>
  <si>
    <t>5/12/2/2026</t>
  </si>
  <si>
    <t>6/12/2/2026</t>
  </si>
  <si>
    <t>11/12/2/2026</t>
  </si>
  <si>
    <t>12/12/2/2026</t>
  </si>
  <si>
    <t>18/12/2/2026</t>
  </si>
  <si>
    <t>19/12/2/2026</t>
  </si>
  <si>
    <t>20/12/2/2026</t>
  </si>
  <si>
    <t>7/16/2/2026</t>
  </si>
  <si>
    <t>8/16/2/2026</t>
  </si>
  <si>
    <t>9/16/2/2026</t>
  </si>
  <si>
    <t>10/16/2/2026</t>
  </si>
  <si>
    <t>11/16/2/2026</t>
  </si>
  <si>
    <t>12/16/2/2026</t>
  </si>
  <si>
    <t>14/16/2/2026</t>
  </si>
  <si>
    <t>15/16/2/2026</t>
  </si>
  <si>
    <t>16/16/2/2026</t>
  </si>
  <si>
    <t>17/16/2/2026</t>
  </si>
  <si>
    <t>18/16/2/2026</t>
  </si>
  <si>
    <t>20/16/2/2026</t>
  </si>
  <si>
    <t>21/16/2/2026</t>
  </si>
  <si>
    <t>26/16/2/2026</t>
  </si>
  <si>
    <t>19/16/2/2026</t>
  </si>
  <si>
    <t>4.0: 4.6</t>
  </si>
  <si>
    <t>1-312022026</t>
  </si>
  <si>
    <t>3-116022026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</si>
</sst>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0" x14ac:knownFonts="1">
    <font>
      <sz val="11"/>
      <color theme="1"/>
      <name val="Calibri"/>
      <family val="2"/>
      <scheme val="minor"/>
    </font>
    <font>
      <b/>
      <sz val="11"/>
      <color theme="1"/>
      <name val="Calibri"/>
      <family val="2"/>
      <scheme val="minor"/>
    </font>
    <font>
      <sz val="12"/>
      <color theme="1"/>
      <name val="Calibri"/>
      <family val="2"/>
      <scheme val="minor"/>
    </font>
    <font>
      <sz val="8"/>
      <name val="Calibri"/>
      <family val="2"/>
      <scheme val="minor"/>
    </font>
    <font>
      <b/>
      <sz val="14"/>
      <color rgb="FF1F4E79"/>
      <name val="Calibri"/>
      <family val="2"/>
    </font>
    <font>
      <b/>
      <i/>
      <sz val="14"/>
      <color rgb="FF000000"/>
      <name val="Times New Roman"/>
      <family val="1"/>
    </font>
    <font>
      <sz val="14"/>
      <color rgb="FF000000"/>
      <name val="Calibri"/>
      <family val="2"/>
    </font>
    <font>
      <sz val="14"/>
      <color rgb="FF1F4E79"/>
      <name val="Calibri"/>
      <family val="2"/>
    </font>
    <font>
      <b/>
      <sz val="16"/>
      <color rgb="FF1F4E79"/>
      <name val="Calibri"/>
      <family val="2"/>
    </font>
    <font>
      <b/>
      <sz val="14"/>
      <name val="Calibri"/>
      <family val="2"/>
    </font>
    <font>
      <sz val="14"/>
      <name val="Calibri"/>
      <family val="2"/>
      <scheme val="minor"/>
    </font>
    <font>
      <b/>
      <sz val="24"/>
      <name val="Calibri"/>
      <family val="2"/>
    </font>
    <font>
      <b/>
      <sz val="14"/>
      <color theme="1"/>
      <name val="Calibri"/>
      <family val="2"/>
      <scheme val="minor"/>
    </font>
    <font>
      <b/>
      <sz val="28"/>
      <name val="Calibri"/>
      <family val="2"/>
    </font>
    <font>
      <b/>
      <sz val="16"/>
      <color theme="1"/>
      <name val="Calibri"/>
      <family val="2"/>
      <scheme val="minor"/>
    </font>
    <font>
      <b/>
      <sz val="16"/>
      <color theme="1"/>
      <name val="Segoe UI Emoji"/>
      <family val="2"/>
    </font>
    <font>
      <b/>
      <strike/>
      <sz val="14"/>
      <color theme="1"/>
      <name val="Calibri"/>
      <family val="2"/>
      <scheme val="minor"/>
    </font>
    <font>
      <b/>
      <sz val="14"/>
      <name val="Calibri"/>
      <family val="2"/>
      <scheme val="minor"/>
    </font>
    <font>
      <i/>
      <sz val="16"/>
      <color rgb="FF000000"/>
      <name val="Times New Roman"/>
      <family val="1"/>
    </font>
    <font>
      <b/>
      <sz val="12"/>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2"/>
        <bgColor rgb="FF2E75B6"/>
      </patternFill>
    </fill>
    <fill>
      <patternFill patternType="solid">
        <fgColor theme="2" tint="-0.499984740745262"/>
        <bgColor rgb="FF1F4E79"/>
      </patternFill>
    </fill>
    <fill>
      <patternFill patternType="solid">
        <fgColor theme="2" tint="-0.499984740745262"/>
        <bgColor indexed="64"/>
      </patternFill>
    </fill>
    <fill>
      <patternFill patternType="solid">
        <fgColor theme="0"/>
        <bgColor indexed="64"/>
      </patternFill>
    </fill>
    <fill>
      <patternFill patternType="solid">
        <fgColor theme="2" tint="-9.9978637043366805E-2"/>
        <bgColor indexed="64"/>
      </patternFill>
    </fill>
  </fills>
  <borders count="3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thin">
        <color auto="1"/>
      </left>
      <right style="medium">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bottom style="medium">
        <color indexed="64"/>
      </bottom>
      <diagonal/>
    </border>
  </borders>
  <cellStyleXfs count="1">
    <xf numFmtId="0" fontId="0" fillId="0" borderId="0"/>
  </cellStyleXfs>
  <cellXfs count="143">
    <xf numFmtId="0" fontId="0" fillId="0" borderId="0" xfId="0"/>
    <xf numFmtId="0" fontId="2" fillId="0" borderId="0" xfId="0" applyFont="1" applyAlignment="1">
      <alignment horizontal="right"/>
    </xf>
    <xf numFmtId="0" fontId="4" fillId="0" borderId="1" xfId="0" applyFont="1" applyBorder="1" applyAlignment="1">
      <alignment horizontal="center" vertical="center" wrapText="1"/>
    </xf>
    <xf numFmtId="0" fontId="12" fillId="0" borderId="14" xfId="0" applyFont="1" applyBorder="1" applyAlignment="1">
      <alignment horizontal="center" vertical="center"/>
    </xf>
    <xf numFmtId="2" fontId="12" fillId="0" borderId="14" xfId="0" applyNumberFormat="1" applyFont="1" applyBorder="1" applyAlignment="1">
      <alignment horizontal="center" vertical="center"/>
    </xf>
    <xf numFmtId="164" fontId="12" fillId="0" borderId="14" xfId="0" applyNumberFormat="1" applyFont="1" applyBorder="1" applyAlignment="1">
      <alignment horizontal="center" vertical="center"/>
    </xf>
    <xf numFmtId="2" fontId="12" fillId="6" borderId="14" xfId="0" applyNumberFormat="1" applyFont="1" applyFill="1" applyBorder="1" applyAlignment="1">
      <alignment horizontal="center" vertical="center"/>
    </xf>
    <xf numFmtId="164" fontId="12" fillId="6" borderId="14" xfId="0" applyNumberFormat="1" applyFont="1" applyFill="1" applyBorder="1" applyAlignment="1">
      <alignment horizontal="center" vertical="center"/>
    </xf>
    <xf numFmtId="0" fontId="12" fillId="7" borderId="14" xfId="0" applyFont="1" applyFill="1" applyBorder="1" applyAlignment="1">
      <alignment horizontal="center" vertical="center"/>
    </xf>
    <xf numFmtId="2" fontId="12" fillId="6" borderId="15" xfId="0" applyNumberFormat="1" applyFont="1" applyFill="1" applyBorder="1" applyAlignment="1">
      <alignment horizontal="center" vertical="center"/>
    </xf>
    <xf numFmtId="0" fontId="14" fillId="7" borderId="14" xfId="0" applyFont="1" applyFill="1" applyBorder="1" applyAlignment="1">
      <alignment horizontal="center" vertical="center"/>
    </xf>
    <xf numFmtId="0" fontId="12" fillId="0" borderId="14" xfId="0" applyFont="1" applyBorder="1" applyAlignment="1">
      <alignment horizontal="center"/>
    </xf>
    <xf numFmtId="2" fontId="12" fillId="6" borderId="18" xfId="0" applyNumberFormat="1" applyFont="1" applyFill="1" applyBorder="1" applyAlignment="1">
      <alignment horizontal="center" vertical="center"/>
    </xf>
    <xf numFmtId="0" fontId="19" fillId="0" borderId="18" xfId="0" applyFont="1" applyBorder="1" applyAlignment="1">
      <alignment horizontal="center" vertical="center"/>
    </xf>
    <xf numFmtId="0" fontId="12" fillId="0" borderId="21" xfId="0" applyFont="1" applyBorder="1" applyAlignment="1">
      <alignment vertical="center"/>
    </xf>
    <xf numFmtId="0" fontId="12" fillId="0" borderId="29" xfId="0" applyFont="1" applyBorder="1" applyAlignment="1">
      <alignment vertical="center"/>
    </xf>
    <xf numFmtId="0" fontId="12" fillId="0" borderId="30" xfId="0" applyFont="1" applyBorder="1" applyAlignment="1">
      <alignment vertical="center"/>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9" fillId="3" borderId="15" xfId="0" applyFont="1" applyFill="1" applyBorder="1" applyAlignment="1">
      <alignment vertical="center" wrapText="1"/>
    </xf>
    <xf numFmtId="0" fontId="12" fillId="0" borderId="18" xfId="0" applyFont="1" applyBorder="1" applyAlignment="1">
      <alignment vertical="center"/>
    </xf>
    <xf numFmtId="0" fontId="19" fillId="0" borderId="0" xfId="0" applyFont="1" applyAlignment="1">
      <alignment horizontal="left"/>
    </xf>
    <xf numFmtId="0" fontId="19" fillId="0" borderId="0" xfId="0" quotePrefix="1" applyFont="1" applyAlignment="1">
      <alignment horizontal="left"/>
    </xf>
    <xf numFmtId="0" fontId="4" fillId="0" borderId="38"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9" fillId="3" borderId="15"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10" fillId="2" borderId="13" xfId="0" applyFont="1" applyFill="1" applyBorder="1" applyAlignment="1">
      <alignment horizontal="center"/>
    </xf>
    <xf numFmtId="0" fontId="19" fillId="0" borderId="18" xfId="0" applyFont="1" applyBorder="1" applyAlignment="1">
      <alignment horizontal="center" vertical="center"/>
    </xf>
    <xf numFmtId="0" fontId="19" fillId="0" borderId="33" xfId="0" applyFont="1" applyBorder="1" applyAlignment="1">
      <alignment horizontal="center" vertical="center"/>
    </xf>
    <xf numFmtId="0" fontId="19" fillId="0" borderId="34" xfId="0" applyFont="1"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14" fontId="7" fillId="0" borderId="4" xfId="0" quotePrefix="1"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14" fontId="7" fillId="0" borderId="3" xfId="0" applyNumberFormat="1" applyFont="1" applyBorder="1" applyAlignment="1">
      <alignment horizontal="center" vertical="center" wrapText="1"/>
    </xf>
    <xf numFmtId="14" fontId="7" fillId="0" borderId="4" xfId="0" applyNumberFormat="1" applyFont="1" applyBorder="1" applyAlignment="1">
      <alignment horizontal="center" vertical="center" wrapText="1"/>
    </xf>
    <xf numFmtId="0" fontId="19" fillId="0" borderId="19" xfId="0" applyFont="1" applyBorder="1" applyAlignment="1">
      <alignment horizontal="center" vertical="center"/>
    </xf>
    <xf numFmtId="0" fontId="19" fillId="0" borderId="20" xfId="0" applyFont="1" applyBorder="1" applyAlignment="1">
      <alignment horizontal="center" vertical="center"/>
    </xf>
    <xf numFmtId="0" fontId="19" fillId="0" borderId="21"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1" xfId="0" applyFont="1" applyBorder="1" applyAlignment="1">
      <alignment horizontal="center" vertical="center"/>
    </xf>
    <xf numFmtId="0" fontId="1" fillId="0" borderId="29" xfId="0" applyFont="1" applyBorder="1" applyAlignment="1">
      <alignment horizontal="center" vertical="center"/>
    </xf>
    <xf numFmtId="0" fontId="19" fillId="0" borderId="1" xfId="0" applyFont="1" applyBorder="1" applyAlignment="1">
      <alignment horizontal="center" vertical="center" wrapText="1" readingOrder="1"/>
    </xf>
    <xf numFmtId="0" fontId="19" fillId="0" borderId="24" xfId="0" applyFont="1" applyBorder="1" applyAlignment="1">
      <alignment horizontal="center" vertical="center" readingOrder="1"/>
    </xf>
    <xf numFmtId="0" fontId="19" fillId="0" borderId="29" xfId="0" applyFont="1" applyBorder="1" applyAlignment="1">
      <alignment horizontal="center" vertical="center" readingOrder="1"/>
    </xf>
    <xf numFmtId="0" fontId="19" fillId="0" borderId="30" xfId="0" applyFont="1" applyBorder="1" applyAlignment="1">
      <alignment horizontal="center" vertical="center" readingOrder="1"/>
    </xf>
    <xf numFmtId="0" fontId="8" fillId="0" borderId="5"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0"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0" xfId="0" applyFont="1" applyAlignment="1">
      <alignment horizontal="center" vertical="center" wrapText="1"/>
    </xf>
    <xf numFmtId="0" fontId="9" fillId="0" borderId="12"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4" xfId="0" applyFont="1" applyBorder="1" applyAlignment="1">
      <alignment horizontal="right" vertical="center" wrapText="1"/>
    </xf>
    <xf numFmtId="0" fontId="9" fillId="0" borderId="2" xfId="0" applyFont="1" applyBorder="1" applyAlignment="1">
      <alignment horizontal="right" vertical="center" wrapText="1"/>
    </xf>
    <xf numFmtId="0" fontId="9" fillId="0" borderId="3" xfId="0" applyFont="1" applyBorder="1" applyAlignment="1">
      <alignment horizontal="right"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9" fillId="0" borderId="7" xfId="0" applyFont="1" applyBorder="1" applyAlignment="1">
      <alignment horizontal="center" vertical="top" wrapText="1"/>
    </xf>
    <xf numFmtId="0" fontId="9" fillId="0" borderId="11" xfId="0" applyFont="1" applyBorder="1" applyAlignment="1">
      <alignment horizontal="center" vertical="top" wrapText="1"/>
    </xf>
    <xf numFmtId="0" fontId="9" fillId="0" borderId="0" xfId="0" applyFont="1" applyAlignment="1">
      <alignment horizontal="center" vertical="top" wrapText="1"/>
    </xf>
    <xf numFmtId="0" fontId="9" fillId="0" borderId="12" xfId="0" applyFont="1" applyBorder="1" applyAlignment="1">
      <alignment horizontal="center" vertical="top" wrapText="1"/>
    </xf>
    <xf numFmtId="0" fontId="9" fillId="0" borderId="8" xfId="0" applyFont="1" applyBorder="1" applyAlignment="1">
      <alignment horizontal="center" vertical="top" wrapText="1"/>
    </xf>
    <xf numFmtId="0" fontId="9" fillId="0" borderId="9" xfId="0" applyFont="1" applyBorder="1" applyAlignment="1">
      <alignment horizontal="center" vertical="top" wrapText="1"/>
    </xf>
    <xf numFmtId="0" fontId="9" fillId="0" borderId="10" xfId="0" applyFont="1" applyBorder="1" applyAlignment="1">
      <alignment horizontal="center" vertical="top"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0" xfId="0" applyFont="1" applyAlignment="1">
      <alignment horizontal="center" vertical="center" wrapText="1"/>
    </xf>
    <xf numFmtId="0" fontId="11" fillId="0" borderId="12"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17" fontId="9" fillId="0" borderId="4" xfId="0" applyNumberFormat="1" applyFont="1" applyBorder="1" applyAlignment="1">
      <alignment horizontal="right"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2" borderId="1" xfId="0" applyFont="1" applyFill="1" applyBorder="1" applyAlignment="1">
      <alignment horizontal="center"/>
    </xf>
    <xf numFmtId="0" fontId="9" fillId="4" borderId="1" xfId="0" applyFont="1" applyFill="1" applyBorder="1" applyAlignment="1">
      <alignment horizontal="center" vertical="center" wrapText="1"/>
    </xf>
    <xf numFmtId="0" fontId="10" fillId="5" borderId="1" xfId="0" applyFont="1" applyFill="1" applyBorder="1" applyAlignment="1">
      <alignment horizontal="center"/>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Alignment="1">
      <alignment horizontal="center" vertical="center" wrapText="1"/>
    </xf>
    <xf numFmtId="0" fontId="7" fillId="0" borderId="12"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12" fillId="0" borderId="18" xfId="0" applyFont="1" applyBorder="1" applyAlignment="1">
      <alignment horizontal="center" vertical="center"/>
    </xf>
    <xf numFmtId="0" fontId="19" fillId="0" borderId="29" xfId="0" applyFont="1" applyBorder="1" applyAlignment="1">
      <alignment horizontal="center" vertical="center"/>
    </xf>
    <xf numFmtId="0" fontId="12" fillId="0" borderId="29" xfId="0" applyFont="1" applyBorder="1" applyAlignment="1">
      <alignment horizontal="center" vertical="center"/>
    </xf>
    <xf numFmtId="0" fontId="17" fillId="2" borderId="15" xfId="0" applyFont="1" applyFill="1" applyBorder="1" applyAlignment="1">
      <alignment horizontal="center" vertical="center"/>
    </xf>
    <xf numFmtId="0" fontId="17" fillId="2" borderId="17" xfId="0" applyFont="1" applyFill="1" applyBorder="1" applyAlignment="1">
      <alignment horizontal="center" vertical="center"/>
    </xf>
    <xf numFmtId="0" fontId="17" fillId="2" borderId="16" xfId="0" applyFont="1" applyFill="1" applyBorder="1" applyAlignment="1">
      <alignment horizontal="center" vertical="center"/>
    </xf>
    <xf numFmtId="0" fontId="18" fillId="0" borderId="4"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 fillId="7" borderId="15" xfId="0" applyFont="1" applyFill="1" applyBorder="1" applyAlignment="1">
      <alignment vertical="center"/>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2" fillId="7" borderId="15" xfId="0" applyFont="1" applyFill="1" applyBorder="1" applyAlignment="1">
      <alignment horizontal="center" vertical="center"/>
    </xf>
    <xf numFmtId="0" fontId="12" fillId="7" borderId="16" xfId="0" applyFont="1" applyFill="1" applyBorder="1" applyAlignment="1">
      <alignment horizontal="center" vertical="center"/>
    </xf>
    <xf numFmtId="0" fontId="7" fillId="0" borderId="4" xfId="0" quotePrefix="1" applyNumberFormat="1" applyFont="1" applyBorder="1" applyAlignment="1">
      <alignment horizontal="center" vertical="center" wrapText="1"/>
    </xf>
    <xf numFmtId="0" fontId="7" fillId="0" borderId="2"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cellXfs>
  <cellStyles count="1">
    <cellStyle name="Normal" xfId="0" builtinId="0"/>
  </cellStyles>
  <dxfs count="1">
    <dxf>
      <font>
        <b/>
        <i val="0"/>
        <color rgb="FFFF0000"/>
      </font>
      <fill>
        <patternFill>
          <bgColor rgb="FFFFFF00"/>
        </patternFill>
      </fill>
    </dxf>
  </dxfs>
  <tableStyles count="1" defaultTableStyle="TableStyleMedium9" defaultPivotStyle="PivotStyleLight16">
    <tableStyle name="Invisible" pivot="0" table="0" count="0" xr9:uid="{B15E3B49-B475-4B1A-8198-7C5B4665FA6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88900</xdr:colOff>
      <xdr:row>0</xdr:row>
      <xdr:rowOff>114300</xdr:rowOff>
    </xdr:from>
    <xdr:to>
      <xdr:col>13</xdr:col>
      <xdr:colOff>1272540</xdr:colOff>
      <xdr:row>5</xdr:row>
      <xdr:rowOff>102911</xdr:rowOff>
    </xdr:to>
    <xdr:pic>
      <xdr:nvPicPr>
        <xdr:cNvPr id="4" name="Picture 3">
          <a:extLst>
            <a:ext uri="{FF2B5EF4-FFF2-40B4-BE49-F238E27FC236}">
              <a16:creationId xmlns:a16="http://schemas.microsoft.com/office/drawing/2014/main" id="{F074BAD2-CB1F-4C50-9828-D1F95B280B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11000" y="114300"/>
          <a:ext cx="4015740" cy="1004611"/>
        </a:xfrm>
        <a:prstGeom prst="rect">
          <a:avLst/>
        </a:prstGeom>
      </xdr:spPr>
    </xdr:pic>
    <xdr:clientData/>
  </xdr:twoCellAnchor>
  <xdr:twoCellAnchor editAs="oneCell">
    <xdr:from>
      <xdr:col>1</xdr:col>
      <xdr:colOff>203200</xdr:colOff>
      <xdr:row>0</xdr:row>
      <xdr:rowOff>101600</xdr:rowOff>
    </xdr:from>
    <xdr:to>
      <xdr:col>1</xdr:col>
      <xdr:colOff>2336800</xdr:colOff>
      <xdr:row>5</xdr:row>
      <xdr:rowOff>160868</xdr:rowOff>
    </xdr:to>
    <xdr:pic>
      <xdr:nvPicPr>
        <xdr:cNvPr id="5" name="Picture 4">
          <a:extLst>
            <a:ext uri="{FF2B5EF4-FFF2-40B4-BE49-F238E27FC236}">
              <a16:creationId xmlns:a16="http://schemas.microsoft.com/office/drawing/2014/main" id="{8CB0B8C1-5808-4396-8407-A514C7C7A503}"/>
            </a:ext>
          </a:extLst>
        </xdr:cNvPr>
        <xdr:cNvPicPr>
          <a:picLocks noChangeAspect="1"/>
        </xdr:cNvPicPr>
      </xdr:nvPicPr>
      <xdr:blipFill>
        <a:blip xmlns:r="http://schemas.openxmlformats.org/officeDocument/2006/relationships" r:embed="rId2"/>
        <a:stretch>
          <a:fillRect/>
        </a:stretch>
      </xdr:blipFill>
      <xdr:spPr>
        <a:xfrm>
          <a:off x="685800" y="101600"/>
          <a:ext cx="2133600" cy="10752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FE50B-7387-44FD-89FB-E1D7744AF8B0}">
  <sheetPr>
    <pageSetUpPr fitToPage="1"/>
  </sheetPr>
  <dimension ref="A1:O63"/>
  <sheetViews>
    <sheetView tabSelected="1" topLeftCell="A22" zoomScale="60" zoomScaleNormal="60" workbookViewId="0">
      <selection activeCell="G43" sqref="G43"/>
    </sheetView>
  </sheetViews>
  <sheetFormatPr defaultColWidth="8.88671875" defaultRowHeight="15.6" x14ac:dyDescent="0.3"/>
  <cols>
    <col min="1" max="1" width="4.5546875" style="1" bestFit="1" customWidth="1"/>
    <col min="2" max="2" width="41.77734375" style="1" customWidth="1"/>
    <col min="3" max="3" width="14" style="1" customWidth="1"/>
    <col min="4" max="11" width="14.5546875" style="1" customWidth="1"/>
    <col min="12" max="12" width="32.5546875" style="1" customWidth="1"/>
    <col min="13" max="13" width="33.109375" style="1" customWidth="1"/>
    <col min="14" max="14" width="33.33203125" style="1" customWidth="1"/>
    <col min="15" max="16384" width="8.88671875" style="1"/>
  </cols>
  <sheetData>
    <row r="1" spans="1:15" ht="15.6" customHeight="1" x14ac:dyDescent="0.3">
      <c r="A1" s="88"/>
      <c r="B1" s="89"/>
      <c r="C1" s="90"/>
      <c r="D1" s="97" t="s">
        <v>28</v>
      </c>
      <c r="E1" s="98"/>
      <c r="F1" s="98"/>
      <c r="G1" s="98"/>
      <c r="H1" s="98"/>
      <c r="I1" s="98"/>
      <c r="J1" s="98"/>
      <c r="K1" s="99"/>
      <c r="L1" s="67"/>
      <c r="M1" s="68"/>
      <c r="N1" s="69"/>
    </row>
    <row r="2" spans="1:15" ht="15.6" customHeight="1" x14ac:dyDescent="0.3">
      <c r="A2" s="91"/>
      <c r="B2" s="92"/>
      <c r="C2" s="93"/>
      <c r="D2" s="100"/>
      <c r="E2" s="101"/>
      <c r="F2" s="101"/>
      <c r="G2" s="101"/>
      <c r="H2" s="101"/>
      <c r="I2" s="101"/>
      <c r="J2" s="101"/>
      <c r="K2" s="102"/>
      <c r="L2" s="70"/>
      <c r="M2" s="71"/>
      <c r="N2" s="72"/>
    </row>
    <row r="3" spans="1:15" ht="15.6" customHeight="1" x14ac:dyDescent="0.3">
      <c r="A3" s="91"/>
      <c r="B3" s="92"/>
      <c r="C3" s="93"/>
      <c r="D3" s="100"/>
      <c r="E3" s="101"/>
      <c r="F3" s="101"/>
      <c r="G3" s="101"/>
      <c r="H3" s="101"/>
      <c r="I3" s="101"/>
      <c r="J3" s="101"/>
      <c r="K3" s="102"/>
      <c r="L3" s="70"/>
      <c r="M3" s="71"/>
      <c r="N3" s="72"/>
    </row>
    <row r="4" spans="1:15" ht="15.6" customHeight="1" x14ac:dyDescent="0.3">
      <c r="A4" s="91"/>
      <c r="B4" s="92"/>
      <c r="C4" s="93"/>
      <c r="D4" s="100"/>
      <c r="E4" s="101"/>
      <c r="F4" s="101"/>
      <c r="G4" s="101"/>
      <c r="H4" s="101"/>
      <c r="I4" s="101"/>
      <c r="J4" s="101"/>
      <c r="K4" s="102"/>
      <c r="L4" s="70"/>
      <c r="M4" s="71"/>
      <c r="N4" s="72"/>
    </row>
    <row r="5" spans="1:15" ht="15.6" customHeight="1" x14ac:dyDescent="0.3">
      <c r="A5" s="91"/>
      <c r="B5" s="92"/>
      <c r="C5" s="93"/>
      <c r="D5" s="100"/>
      <c r="E5" s="101"/>
      <c r="F5" s="101"/>
      <c r="G5" s="101"/>
      <c r="H5" s="101"/>
      <c r="I5" s="101"/>
      <c r="J5" s="101"/>
      <c r="K5" s="102"/>
      <c r="L5" s="70"/>
      <c r="M5" s="71"/>
      <c r="N5" s="72"/>
    </row>
    <row r="6" spans="1:15" ht="13.95" customHeight="1" x14ac:dyDescent="0.3">
      <c r="A6" s="94"/>
      <c r="B6" s="95"/>
      <c r="C6" s="96"/>
      <c r="D6" s="103"/>
      <c r="E6" s="104"/>
      <c r="F6" s="104"/>
      <c r="G6" s="104"/>
      <c r="H6" s="104"/>
      <c r="I6" s="104"/>
      <c r="J6" s="104"/>
      <c r="K6" s="105"/>
      <c r="L6" s="73"/>
      <c r="M6" s="74"/>
      <c r="N6" s="75"/>
    </row>
    <row r="7" spans="1:15" ht="22.95" customHeight="1" x14ac:dyDescent="0.3">
      <c r="A7" s="106" t="s">
        <v>24</v>
      </c>
      <c r="B7" s="77"/>
      <c r="C7" s="77"/>
      <c r="D7" s="77"/>
      <c r="E7" s="77"/>
      <c r="F7" s="77"/>
      <c r="G7" s="77"/>
      <c r="H7" s="77"/>
      <c r="I7" s="77"/>
      <c r="J7" s="77"/>
      <c r="K7" s="78"/>
      <c r="L7" s="79" t="s">
        <v>0</v>
      </c>
      <c r="M7" s="80"/>
      <c r="N7" s="81"/>
    </row>
    <row r="8" spans="1:15" ht="27" customHeight="1" x14ac:dyDescent="0.3">
      <c r="A8" s="76" t="s">
        <v>20</v>
      </c>
      <c r="B8" s="77"/>
      <c r="C8" s="77"/>
      <c r="D8" s="77"/>
      <c r="E8" s="77"/>
      <c r="F8" s="77"/>
      <c r="G8" s="77"/>
      <c r="H8" s="77"/>
      <c r="I8" s="77"/>
      <c r="J8" s="77"/>
      <c r="K8" s="78"/>
      <c r="L8" s="79" t="s">
        <v>1</v>
      </c>
      <c r="M8" s="80"/>
      <c r="N8" s="81"/>
    </row>
    <row r="9" spans="1:15" ht="69.599999999999994" customHeight="1" x14ac:dyDescent="0.3">
      <c r="A9" s="82" t="s">
        <v>25</v>
      </c>
      <c r="B9" s="83"/>
      <c r="C9" s="83"/>
      <c r="D9" s="83"/>
      <c r="E9" s="83"/>
      <c r="F9" s="83"/>
      <c r="G9" s="83"/>
      <c r="H9" s="83"/>
      <c r="I9" s="83"/>
      <c r="J9" s="83"/>
      <c r="K9" s="83"/>
      <c r="L9" s="83"/>
      <c r="M9" s="83"/>
      <c r="N9" s="84"/>
    </row>
    <row r="10" spans="1:15" ht="28.95" customHeight="1" x14ac:dyDescent="0.3">
      <c r="A10" s="85" t="s">
        <v>15</v>
      </c>
      <c r="B10" s="86"/>
      <c r="C10" s="86"/>
      <c r="D10" s="86"/>
      <c r="E10" s="86"/>
      <c r="F10" s="86"/>
      <c r="G10" s="86"/>
      <c r="H10" s="86"/>
      <c r="I10" s="87"/>
      <c r="J10" s="79" t="s">
        <v>2</v>
      </c>
      <c r="K10" s="80"/>
      <c r="L10" s="80"/>
      <c r="M10" s="80"/>
      <c r="N10" s="81"/>
    </row>
    <row r="11" spans="1:15" ht="39" customHeight="1" x14ac:dyDescent="0.3">
      <c r="A11" s="85" t="s">
        <v>19</v>
      </c>
      <c r="B11" s="86"/>
      <c r="C11" s="86"/>
      <c r="D11" s="86"/>
      <c r="E11" s="86"/>
      <c r="F11" s="86"/>
      <c r="G11" s="86"/>
      <c r="H11" s="86"/>
      <c r="I11" s="87"/>
      <c r="J11" s="79" t="s">
        <v>3</v>
      </c>
      <c r="K11" s="80"/>
      <c r="L11" s="80"/>
      <c r="M11" s="80"/>
      <c r="N11" s="81"/>
    </row>
    <row r="12" spans="1:15" ht="166.95" customHeight="1" x14ac:dyDescent="0.3">
      <c r="A12" s="85" t="s">
        <v>16</v>
      </c>
      <c r="B12" s="86"/>
      <c r="C12" s="86"/>
      <c r="D12" s="86"/>
      <c r="E12" s="86"/>
      <c r="F12" s="86"/>
      <c r="G12" s="86"/>
      <c r="H12" s="86"/>
      <c r="I12" s="87"/>
      <c r="J12" s="79" t="s">
        <v>4</v>
      </c>
      <c r="K12" s="80"/>
      <c r="L12" s="80"/>
      <c r="M12" s="80"/>
      <c r="N12" s="81"/>
    </row>
    <row r="13" spans="1:15" ht="18" customHeight="1" x14ac:dyDescent="0.35">
      <c r="A13" s="112" t="s">
        <v>5</v>
      </c>
      <c r="B13" s="113"/>
      <c r="C13" s="113"/>
      <c r="D13" s="113"/>
      <c r="E13" s="113"/>
      <c r="F13" s="113"/>
      <c r="G13" s="113"/>
      <c r="H13" s="113"/>
      <c r="I13" s="113"/>
      <c r="J13" s="113"/>
      <c r="K13" s="113"/>
      <c r="L13" s="113"/>
      <c r="M13" s="113"/>
      <c r="N13" s="113"/>
    </row>
    <row r="14" spans="1:15" ht="38.4" customHeight="1" x14ac:dyDescent="0.3">
      <c r="A14" s="107" t="s">
        <v>6</v>
      </c>
      <c r="B14" s="108"/>
      <c r="C14" s="109"/>
      <c r="D14" s="107" t="s">
        <v>7</v>
      </c>
      <c r="E14" s="109"/>
      <c r="F14" s="107" t="s">
        <v>8</v>
      </c>
      <c r="G14" s="109"/>
      <c r="H14" s="107" t="s">
        <v>9</v>
      </c>
      <c r="I14" s="109"/>
      <c r="J14" s="107" t="s">
        <v>10</v>
      </c>
      <c r="K14" s="109"/>
      <c r="L14" s="107" t="s">
        <v>41</v>
      </c>
      <c r="M14" s="108"/>
      <c r="N14" s="109"/>
      <c r="O14" s="23" t="s">
        <v>70</v>
      </c>
    </row>
    <row r="15" spans="1:15" ht="49.8" customHeight="1" x14ac:dyDescent="0.3">
      <c r="A15" s="114" t="s">
        <v>17</v>
      </c>
      <c r="B15" s="115"/>
      <c r="C15" s="116"/>
      <c r="D15" s="61">
        <v>600</v>
      </c>
      <c r="E15" s="62"/>
      <c r="F15" s="61" t="s">
        <v>18</v>
      </c>
      <c r="G15" s="62"/>
      <c r="H15" s="61">
        <v>288</v>
      </c>
      <c r="I15" s="62"/>
      <c r="J15" s="61">
        <v>48</v>
      </c>
      <c r="K15" s="62"/>
      <c r="L15" s="140">
        <v>211022026</v>
      </c>
      <c r="M15" s="141"/>
      <c r="N15" s="142"/>
    </row>
    <row r="16" spans="1:15" ht="45.6" customHeight="1" x14ac:dyDescent="0.3">
      <c r="A16" s="117"/>
      <c r="B16" s="118"/>
      <c r="C16" s="119"/>
      <c r="D16" s="63"/>
      <c r="E16" s="64"/>
      <c r="F16" s="63"/>
      <c r="G16" s="64"/>
      <c r="H16" s="63"/>
      <c r="I16" s="64"/>
      <c r="J16" s="63"/>
      <c r="K16" s="64"/>
      <c r="L16" s="44" t="s">
        <v>104</v>
      </c>
      <c r="M16" s="45"/>
      <c r="N16" s="46"/>
    </row>
    <row r="17" spans="1:15" ht="52.8" customHeight="1" x14ac:dyDescent="0.3">
      <c r="A17" s="120"/>
      <c r="B17" s="121"/>
      <c r="C17" s="122"/>
      <c r="D17" s="65"/>
      <c r="E17" s="66"/>
      <c r="F17" s="65"/>
      <c r="G17" s="66"/>
      <c r="H17" s="65"/>
      <c r="I17" s="66"/>
      <c r="J17" s="65"/>
      <c r="K17" s="66"/>
      <c r="L17" s="47" t="s">
        <v>105</v>
      </c>
      <c r="M17" s="45"/>
      <c r="N17" s="46"/>
    </row>
    <row r="18" spans="1:15" ht="19.2" customHeight="1" x14ac:dyDescent="0.35">
      <c r="A18" s="112" t="s">
        <v>11</v>
      </c>
      <c r="B18" s="113"/>
      <c r="C18" s="113"/>
      <c r="D18" s="113"/>
      <c r="E18" s="113"/>
      <c r="F18" s="113"/>
      <c r="G18" s="113"/>
      <c r="H18" s="113"/>
      <c r="I18" s="113"/>
      <c r="J18" s="113"/>
      <c r="K18" s="113"/>
      <c r="L18" s="113"/>
      <c r="M18" s="113"/>
      <c r="N18" s="113"/>
    </row>
    <row r="19" spans="1:15" ht="19.95" customHeight="1" thickBot="1" x14ac:dyDescent="0.4">
      <c r="A19" s="110" t="s">
        <v>12</v>
      </c>
      <c r="B19" s="111"/>
      <c r="C19" s="111"/>
      <c r="D19" s="111"/>
      <c r="E19" s="111"/>
      <c r="F19" s="111"/>
      <c r="G19" s="111"/>
      <c r="H19" s="111"/>
      <c r="I19" s="111"/>
      <c r="J19" s="111"/>
      <c r="K19" s="111"/>
      <c r="L19" s="111"/>
      <c r="M19" s="111"/>
      <c r="N19" s="111"/>
    </row>
    <row r="20" spans="1:15" ht="40.950000000000003" customHeight="1" x14ac:dyDescent="0.3">
      <c r="A20" s="39">
        <v>1</v>
      </c>
      <c r="B20" s="33" t="s">
        <v>67</v>
      </c>
      <c r="C20" s="34"/>
      <c r="D20" s="48" t="s">
        <v>42</v>
      </c>
      <c r="E20" s="49"/>
      <c r="F20" s="13" t="s">
        <v>43</v>
      </c>
      <c r="G20" s="13" t="s">
        <v>44</v>
      </c>
      <c r="H20" s="13" t="s">
        <v>45</v>
      </c>
      <c r="I20" s="13" t="s">
        <v>46</v>
      </c>
      <c r="J20" s="13" t="s">
        <v>47</v>
      </c>
      <c r="K20" s="13" t="s">
        <v>48</v>
      </c>
      <c r="L20" s="13" t="s">
        <v>49</v>
      </c>
      <c r="M20" s="32" t="s">
        <v>58</v>
      </c>
      <c r="N20" s="50"/>
    </row>
    <row r="21" spans="1:15" ht="42" customHeight="1" x14ac:dyDescent="0.3">
      <c r="A21" s="40"/>
      <c r="B21" s="35" t="s">
        <v>66</v>
      </c>
      <c r="C21" s="36"/>
      <c r="D21" s="51" t="s">
        <v>50</v>
      </c>
      <c r="E21" s="52"/>
      <c r="F21" s="55" t="s">
        <v>103</v>
      </c>
      <c r="G21" s="55" t="s">
        <v>51</v>
      </c>
      <c r="H21" s="55" t="s">
        <v>52</v>
      </c>
      <c r="I21" s="55" t="s">
        <v>53</v>
      </c>
      <c r="J21" s="55" t="s">
        <v>54</v>
      </c>
      <c r="K21" s="55" t="s">
        <v>55</v>
      </c>
      <c r="L21" s="55" t="s">
        <v>56</v>
      </c>
      <c r="M21" s="57" t="s">
        <v>69</v>
      </c>
      <c r="N21" s="58"/>
    </row>
    <row r="22" spans="1:15" ht="43.2" customHeight="1" thickBot="1" x14ac:dyDescent="0.35">
      <c r="A22" s="41"/>
      <c r="B22" s="37"/>
      <c r="C22" s="38"/>
      <c r="D22" s="53"/>
      <c r="E22" s="54"/>
      <c r="F22" s="56"/>
      <c r="G22" s="56"/>
      <c r="H22" s="56"/>
      <c r="I22" s="56"/>
      <c r="J22" s="56"/>
      <c r="K22" s="56"/>
      <c r="L22" s="56"/>
      <c r="M22" s="59"/>
      <c r="N22" s="60"/>
    </row>
    <row r="23" spans="1:15" ht="15" customHeight="1" x14ac:dyDescent="0.3">
      <c r="A23" s="17"/>
      <c r="B23" s="18"/>
      <c r="C23" s="18"/>
      <c r="D23" s="18"/>
      <c r="E23" s="18"/>
      <c r="F23" s="18"/>
      <c r="G23" s="18"/>
      <c r="H23" s="18"/>
      <c r="I23" s="18"/>
      <c r="J23" s="18"/>
      <c r="K23" s="18"/>
      <c r="L23" s="18"/>
      <c r="M23" s="18"/>
      <c r="N23" s="19"/>
    </row>
    <row r="24" spans="1:15" ht="37.200000000000003" customHeight="1" thickBot="1" x14ac:dyDescent="0.4">
      <c r="A24" s="30" t="s">
        <v>65</v>
      </c>
      <c r="B24" s="31"/>
      <c r="C24" s="31"/>
      <c r="D24" s="31"/>
      <c r="E24" s="31"/>
      <c r="F24" s="31"/>
      <c r="G24" s="31"/>
      <c r="H24" s="31"/>
      <c r="I24" s="31"/>
      <c r="J24" s="31"/>
      <c r="K24" s="31"/>
      <c r="L24" s="31"/>
      <c r="M24" s="31"/>
      <c r="N24" s="31"/>
    </row>
    <row r="25" spans="1:15" ht="40.950000000000003" customHeight="1" x14ac:dyDescent="0.3">
      <c r="A25" s="42">
        <v>2</v>
      </c>
      <c r="B25" s="32" t="s">
        <v>68</v>
      </c>
      <c r="C25" s="32"/>
      <c r="D25" s="123" t="s">
        <v>57</v>
      </c>
      <c r="E25" s="123"/>
      <c r="F25" s="123"/>
      <c r="G25" s="123"/>
      <c r="H25" s="123" t="s">
        <v>61</v>
      </c>
      <c r="I25" s="123"/>
      <c r="J25" s="123"/>
      <c r="K25" s="123"/>
      <c r="L25" s="123"/>
      <c r="M25" s="21" t="s">
        <v>62</v>
      </c>
      <c r="N25" s="14" t="s">
        <v>58</v>
      </c>
    </row>
    <row r="26" spans="1:15" ht="49.95" customHeight="1" thickBot="1" x14ac:dyDescent="0.35">
      <c r="A26" s="43"/>
      <c r="B26" s="124" t="s">
        <v>66</v>
      </c>
      <c r="C26" s="124"/>
      <c r="D26" s="125" t="s">
        <v>59</v>
      </c>
      <c r="E26" s="125"/>
      <c r="F26" s="125"/>
      <c r="G26" s="125"/>
      <c r="H26" s="124" t="s">
        <v>60</v>
      </c>
      <c r="I26" s="124"/>
      <c r="J26" s="124"/>
      <c r="K26" s="124"/>
      <c r="L26" s="124"/>
      <c r="M26" s="15" t="s">
        <v>63</v>
      </c>
      <c r="N26" s="16" t="s">
        <v>64</v>
      </c>
    </row>
    <row r="27" spans="1:15" ht="13.8" customHeight="1" thickBot="1" x14ac:dyDescent="0.35">
      <c r="A27" s="24"/>
      <c r="B27" s="25"/>
      <c r="C27" s="25"/>
      <c r="D27" s="25"/>
      <c r="E27" s="25"/>
      <c r="F27" s="25"/>
      <c r="G27" s="25"/>
      <c r="H27" s="25"/>
      <c r="I27" s="25"/>
      <c r="J27" s="25"/>
      <c r="K27" s="25"/>
      <c r="L27" s="25"/>
      <c r="M27" s="25"/>
      <c r="N27" s="26"/>
    </row>
    <row r="28" spans="1:15" ht="30.6" customHeight="1" thickBot="1" x14ac:dyDescent="0.35">
      <c r="A28" s="20" t="s">
        <v>26</v>
      </c>
      <c r="B28" s="27" t="s">
        <v>27</v>
      </c>
      <c r="C28" s="28"/>
      <c r="D28" s="28"/>
      <c r="E28" s="28"/>
      <c r="F28" s="28"/>
      <c r="G28" s="28"/>
      <c r="H28" s="28"/>
      <c r="I28" s="28"/>
      <c r="J28" s="28"/>
      <c r="K28" s="29"/>
      <c r="L28" s="126" t="s">
        <v>29</v>
      </c>
      <c r="M28" s="127"/>
      <c r="N28" s="128"/>
    </row>
    <row r="29" spans="1:15" ht="19.95" customHeight="1" thickBot="1" x14ac:dyDescent="0.35">
      <c r="A29" s="135"/>
      <c r="B29" s="138" t="s">
        <v>72</v>
      </c>
      <c r="C29" s="139"/>
      <c r="D29" s="8" t="s">
        <v>40</v>
      </c>
      <c r="E29" s="8" t="s">
        <v>39</v>
      </c>
      <c r="F29" s="8" t="s">
        <v>38</v>
      </c>
      <c r="G29" s="8" t="s">
        <v>37</v>
      </c>
      <c r="H29" s="8" t="s">
        <v>36</v>
      </c>
      <c r="I29" s="8" t="s">
        <v>35</v>
      </c>
      <c r="J29" s="8" t="s">
        <v>34</v>
      </c>
      <c r="K29" s="8" t="s">
        <v>33</v>
      </c>
      <c r="L29" s="10" t="s">
        <v>32</v>
      </c>
      <c r="M29" s="10" t="s">
        <v>31</v>
      </c>
      <c r="N29" s="10" t="s">
        <v>30</v>
      </c>
      <c r="O29" s="22" t="s">
        <v>71</v>
      </c>
    </row>
    <row r="30" spans="1:15" ht="19.95" customHeight="1" thickBot="1" x14ac:dyDescent="0.4">
      <c r="A30" s="2">
        <v>1</v>
      </c>
      <c r="B30" s="136" t="s">
        <v>73</v>
      </c>
      <c r="C30" s="137"/>
      <c r="D30" s="4">
        <v>3.35</v>
      </c>
      <c r="E30" s="4">
        <v>2.42</v>
      </c>
      <c r="F30" s="5">
        <v>0.04</v>
      </c>
      <c r="G30" s="5">
        <v>0.04</v>
      </c>
      <c r="H30" s="3">
        <v>0.04</v>
      </c>
      <c r="I30" s="5">
        <v>1.4999999999999999E-2</v>
      </c>
      <c r="J30" s="4">
        <v>0.18</v>
      </c>
      <c r="K30" s="4">
        <f t="shared" ref="K30:K59" si="0">D:D+E:E/3</f>
        <v>4.1566666666666663</v>
      </c>
      <c r="L30" s="6">
        <v>505.7</v>
      </c>
      <c r="M30" s="12">
        <v>15.84</v>
      </c>
      <c r="N30" s="11">
        <v>151</v>
      </c>
    </row>
    <row r="31" spans="1:15" ht="19.95" customHeight="1" thickBot="1" x14ac:dyDescent="0.4">
      <c r="A31" s="2">
        <v>2</v>
      </c>
      <c r="B31" s="136" t="s">
        <v>74</v>
      </c>
      <c r="C31" s="137">
        <v>25</v>
      </c>
      <c r="D31" s="4">
        <v>3.48</v>
      </c>
      <c r="E31" s="4">
        <v>2.58</v>
      </c>
      <c r="F31" s="5">
        <v>3.9E-2</v>
      </c>
      <c r="G31" s="5">
        <v>4.1000000000000002E-2</v>
      </c>
      <c r="H31" s="3">
        <v>4.1000000000000002E-2</v>
      </c>
      <c r="I31" s="5">
        <v>1.0999999999999999E-2</v>
      </c>
      <c r="J31" s="4">
        <v>0.19</v>
      </c>
      <c r="K31" s="4">
        <f t="shared" si="0"/>
        <v>4.34</v>
      </c>
      <c r="L31" s="6">
        <v>516.5</v>
      </c>
      <c r="M31" s="9">
        <v>17.8</v>
      </c>
      <c r="N31" s="11">
        <v>151</v>
      </c>
    </row>
    <row r="32" spans="1:15" ht="19.95" customHeight="1" thickBot="1" x14ac:dyDescent="0.4">
      <c r="A32" s="2">
        <v>3</v>
      </c>
      <c r="B32" s="136" t="s">
        <v>75</v>
      </c>
      <c r="C32" s="137"/>
      <c r="D32" s="4">
        <v>3.53</v>
      </c>
      <c r="E32" s="4">
        <v>2.14</v>
      </c>
      <c r="F32" s="5">
        <v>4.4999999999999998E-2</v>
      </c>
      <c r="G32" s="5">
        <v>0.08</v>
      </c>
      <c r="H32" s="3">
        <v>3.7999999999999999E-2</v>
      </c>
      <c r="I32" s="5">
        <v>1.4999999999999999E-2</v>
      </c>
      <c r="J32" s="4">
        <v>0.24</v>
      </c>
      <c r="K32" s="4">
        <f t="shared" si="0"/>
        <v>4.2433333333333332</v>
      </c>
      <c r="L32" s="6">
        <v>541.20000000000005</v>
      </c>
      <c r="M32" s="9">
        <v>11.7</v>
      </c>
      <c r="N32" s="11">
        <v>151</v>
      </c>
    </row>
    <row r="33" spans="1:14" ht="19.95" customHeight="1" thickBot="1" x14ac:dyDescent="0.4">
      <c r="A33" s="2">
        <v>4</v>
      </c>
      <c r="B33" s="136" t="s">
        <v>76</v>
      </c>
      <c r="C33" s="137">
        <v>27</v>
      </c>
      <c r="D33" s="4">
        <v>3.48</v>
      </c>
      <c r="E33" s="4">
        <v>2.12</v>
      </c>
      <c r="F33" s="5">
        <v>4.1000000000000002E-2</v>
      </c>
      <c r="G33" s="5">
        <v>0.08</v>
      </c>
      <c r="H33" s="3">
        <v>3.7999999999999999E-2</v>
      </c>
      <c r="I33" s="5">
        <v>1.4999999999999999E-2</v>
      </c>
      <c r="J33" s="4">
        <v>0.24</v>
      </c>
      <c r="K33" s="4">
        <f t="shared" si="0"/>
        <v>4.1866666666666665</v>
      </c>
      <c r="L33" s="6">
        <v>514.5</v>
      </c>
      <c r="M33" s="9">
        <v>12.28</v>
      </c>
      <c r="N33" s="11">
        <v>151</v>
      </c>
    </row>
    <row r="34" spans="1:14" ht="19.95" customHeight="1" thickBot="1" x14ac:dyDescent="0.4">
      <c r="A34" s="2">
        <v>5</v>
      </c>
      <c r="B34" s="136" t="s">
        <v>77</v>
      </c>
      <c r="C34" s="137">
        <v>38</v>
      </c>
      <c r="D34" s="4">
        <v>3.5</v>
      </c>
      <c r="E34" s="4">
        <v>2.5499999999999998</v>
      </c>
      <c r="F34" s="5">
        <v>3.7999999999999999E-2</v>
      </c>
      <c r="G34" s="5">
        <v>3.3000000000000002E-2</v>
      </c>
      <c r="H34" s="3">
        <v>0.05</v>
      </c>
      <c r="I34" s="5">
        <v>1.0999999999999999E-2</v>
      </c>
      <c r="J34" s="4">
        <v>0.19</v>
      </c>
      <c r="K34" s="4">
        <f t="shared" si="0"/>
        <v>4.3499999999999996</v>
      </c>
      <c r="L34" s="6">
        <v>526.20000000000005</v>
      </c>
      <c r="M34" s="9">
        <v>12.02</v>
      </c>
      <c r="N34" s="11">
        <v>151</v>
      </c>
    </row>
    <row r="35" spans="1:14" ht="19.95" customHeight="1" thickBot="1" x14ac:dyDescent="0.4">
      <c r="A35" s="2">
        <v>6</v>
      </c>
      <c r="B35" s="136" t="s">
        <v>78</v>
      </c>
      <c r="C35" s="137">
        <v>39</v>
      </c>
      <c r="D35" s="4">
        <v>3.47</v>
      </c>
      <c r="E35" s="4">
        <v>2.5299999999999998</v>
      </c>
      <c r="F35" s="5">
        <v>4.5999999999999999E-2</v>
      </c>
      <c r="G35" s="5">
        <v>3.4000000000000002E-2</v>
      </c>
      <c r="H35" s="3">
        <v>0.05</v>
      </c>
      <c r="I35" s="5">
        <v>1.0999999999999999E-2</v>
      </c>
      <c r="J35" s="4">
        <v>0.19</v>
      </c>
      <c r="K35" s="4">
        <f t="shared" si="0"/>
        <v>4.3133333333333335</v>
      </c>
      <c r="L35" s="6">
        <v>506.9</v>
      </c>
      <c r="M35" s="9">
        <v>16.75</v>
      </c>
      <c r="N35" s="11">
        <v>151</v>
      </c>
    </row>
    <row r="36" spans="1:14" ht="19.95" customHeight="1" thickBot="1" x14ac:dyDescent="0.4">
      <c r="A36" s="2">
        <v>7</v>
      </c>
      <c r="B36" s="136" t="s">
        <v>79</v>
      </c>
      <c r="C36" s="137">
        <v>3</v>
      </c>
      <c r="D36" s="6">
        <v>3.57</v>
      </c>
      <c r="E36" s="6">
        <v>2.48</v>
      </c>
      <c r="F36" s="7">
        <v>3.9E-2</v>
      </c>
      <c r="G36" s="5">
        <v>0.03</v>
      </c>
      <c r="H36" s="3">
        <v>4.3999999999999997E-2</v>
      </c>
      <c r="I36" s="7">
        <v>6.0000000000000001E-3</v>
      </c>
      <c r="J36" s="6">
        <v>0.18</v>
      </c>
      <c r="K36" s="6">
        <f t="shared" si="0"/>
        <v>4.3966666666666665</v>
      </c>
      <c r="L36" s="6">
        <v>506.8</v>
      </c>
      <c r="M36" s="9">
        <v>12.27</v>
      </c>
      <c r="N36" s="11">
        <v>147</v>
      </c>
    </row>
    <row r="37" spans="1:14" ht="19.95" customHeight="1" thickBot="1" x14ac:dyDescent="0.4">
      <c r="A37" s="2">
        <v>8</v>
      </c>
      <c r="B37" s="136" t="s">
        <v>80</v>
      </c>
      <c r="C37" s="137">
        <v>4</v>
      </c>
      <c r="D37" s="6">
        <v>3.55</v>
      </c>
      <c r="E37" s="6">
        <v>2.19</v>
      </c>
      <c r="F37" s="7">
        <v>4.9000000000000002E-2</v>
      </c>
      <c r="G37" s="5">
        <v>2.5999999999999999E-2</v>
      </c>
      <c r="H37" s="3">
        <v>0.05</v>
      </c>
      <c r="I37" s="7">
        <v>8.0000000000000002E-3</v>
      </c>
      <c r="J37" s="6">
        <v>0.18</v>
      </c>
      <c r="K37" s="6">
        <f t="shared" si="0"/>
        <v>4.2799999999999994</v>
      </c>
      <c r="L37" s="6">
        <v>519.29999999999995</v>
      </c>
      <c r="M37" s="9">
        <v>11.97</v>
      </c>
      <c r="N37" s="11">
        <v>147</v>
      </c>
    </row>
    <row r="38" spans="1:14" ht="19.95" customHeight="1" thickBot="1" x14ac:dyDescent="0.4">
      <c r="A38" s="2">
        <v>9</v>
      </c>
      <c r="B38" s="136" t="s">
        <v>81</v>
      </c>
      <c r="C38" s="137">
        <v>5</v>
      </c>
      <c r="D38" s="6">
        <v>3.47</v>
      </c>
      <c r="E38" s="6">
        <v>2.2200000000000002</v>
      </c>
      <c r="F38" s="7">
        <v>4.1000000000000002E-2</v>
      </c>
      <c r="G38" s="5">
        <v>2.5999999999999999E-2</v>
      </c>
      <c r="H38" s="3">
        <v>0.05</v>
      </c>
      <c r="I38" s="7">
        <v>0.01</v>
      </c>
      <c r="J38" s="6">
        <v>0.18</v>
      </c>
      <c r="K38" s="6">
        <f t="shared" si="0"/>
        <v>4.21</v>
      </c>
      <c r="L38" s="6">
        <v>522.70000000000005</v>
      </c>
      <c r="M38" s="9">
        <v>16.04</v>
      </c>
      <c r="N38" s="11">
        <v>147</v>
      </c>
    </row>
    <row r="39" spans="1:14" ht="19.95" customHeight="1" thickBot="1" x14ac:dyDescent="0.4">
      <c r="A39" s="2">
        <v>10</v>
      </c>
      <c r="B39" s="136" t="s">
        <v>82</v>
      </c>
      <c r="C39" s="137">
        <v>6</v>
      </c>
      <c r="D39" s="6">
        <v>3.58</v>
      </c>
      <c r="E39" s="6">
        <v>2.19</v>
      </c>
      <c r="F39" s="7">
        <v>4.5999999999999999E-2</v>
      </c>
      <c r="G39" s="5">
        <v>3.4000000000000002E-2</v>
      </c>
      <c r="H39" s="3">
        <v>3.9E-2</v>
      </c>
      <c r="I39" s="7">
        <v>1.4E-2</v>
      </c>
      <c r="J39" s="6">
        <v>0.18</v>
      </c>
      <c r="K39" s="6">
        <f t="shared" si="0"/>
        <v>4.3100000000000005</v>
      </c>
      <c r="L39" s="6">
        <v>511.2</v>
      </c>
      <c r="M39" s="9">
        <v>18.62</v>
      </c>
      <c r="N39" s="11">
        <v>147</v>
      </c>
    </row>
    <row r="40" spans="1:14" ht="19.95" customHeight="1" thickBot="1" x14ac:dyDescent="0.4">
      <c r="A40" s="2">
        <v>11</v>
      </c>
      <c r="B40" s="136" t="s">
        <v>83</v>
      </c>
      <c r="C40" s="137">
        <v>11</v>
      </c>
      <c r="D40" s="6">
        <v>3.7</v>
      </c>
      <c r="E40" s="6">
        <v>2.44</v>
      </c>
      <c r="F40" s="7">
        <v>0.04</v>
      </c>
      <c r="G40" s="5">
        <v>5.5E-2</v>
      </c>
      <c r="H40" s="3">
        <v>3.6999999999999998E-2</v>
      </c>
      <c r="I40" s="7">
        <v>1.4999999999999999E-2</v>
      </c>
      <c r="J40" s="6">
        <v>0.2</v>
      </c>
      <c r="K40" s="6">
        <f t="shared" si="0"/>
        <v>4.5133333333333336</v>
      </c>
      <c r="L40" s="6">
        <v>503.8</v>
      </c>
      <c r="M40" s="9">
        <v>20.81</v>
      </c>
      <c r="N40" s="11">
        <v>147</v>
      </c>
    </row>
    <row r="41" spans="1:14" ht="19.95" customHeight="1" thickBot="1" x14ac:dyDescent="0.4">
      <c r="A41" s="2">
        <v>12</v>
      </c>
      <c r="B41" s="136" t="s">
        <v>84</v>
      </c>
      <c r="C41" s="137">
        <v>12</v>
      </c>
      <c r="D41" s="6">
        <v>3.5</v>
      </c>
      <c r="E41" s="6">
        <v>2.33</v>
      </c>
      <c r="F41" s="7">
        <v>4.2999999999999997E-2</v>
      </c>
      <c r="G41" s="5">
        <v>5.7000000000000002E-2</v>
      </c>
      <c r="H41" s="3">
        <v>3.7999999999999999E-2</v>
      </c>
      <c r="I41" s="7">
        <v>1.2E-2</v>
      </c>
      <c r="J41" s="6">
        <v>0.21</v>
      </c>
      <c r="K41" s="6">
        <f t="shared" si="0"/>
        <v>4.2766666666666664</v>
      </c>
      <c r="L41" s="6">
        <v>526.5</v>
      </c>
      <c r="M41" s="9">
        <v>15.29</v>
      </c>
      <c r="N41" s="11">
        <v>147</v>
      </c>
    </row>
    <row r="42" spans="1:14" ht="19.95" customHeight="1" thickBot="1" x14ac:dyDescent="0.4">
      <c r="A42" s="2">
        <v>13</v>
      </c>
      <c r="B42" s="136" t="s">
        <v>85</v>
      </c>
      <c r="C42" s="137">
        <v>18</v>
      </c>
      <c r="D42" s="6">
        <v>3.53</v>
      </c>
      <c r="E42" s="6">
        <v>2.5299999999999998</v>
      </c>
      <c r="F42" s="7">
        <v>3.7999999999999999E-2</v>
      </c>
      <c r="G42" s="5">
        <v>0.08</v>
      </c>
      <c r="H42" s="3">
        <v>3.7999999999999999E-2</v>
      </c>
      <c r="I42" s="7">
        <v>1.2E-2</v>
      </c>
      <c r="J42" s="6">
        <v>0.26</v>
      </c>
      <c r="K42" s="6">
        <f t="shared" si="0"/>
        <v>4.3733333333333331</v>
      </c>
      <c r="L42" s="6">
        <v>527.4</v>
      </c>
      <c r="M42" s="9">
        <v>14.28</v>
      </c>
      <c r="N42" s="11">
        <v>147</v>
      </c>
    </row>
    <row r="43" spans="1:14" ht="19.95" customHeight="1" thickBot="1" x14ac:dyDescent="0.4">
      <c r="A43" s="2">
        <v>14</v>
      </c>
      <c r="B43" s="136" t="s">
        <v>86</v>
      </c>
      <c r="C43" s="137">
        <v>19</v>
      </c>
      <c r="D43" s="6">
        <v>3.47</v>
      </c>
      <c r="E43" s="6">
        <v>2.61</v>
      </c>
      <c r="F43" s="7">
        <v>3.7999999999999999E-2</v>
      </c>
      <c r="G43" s="5">
        <v>0.08</v>
      </c>
      <c r="H43" s="3">
        <v>3.7999999999999999E-2</v>
      </c>
      <c r="I43" s="7">
        <v>1.4999999999999999E-2</v>
      </c>
      <c r="J43" s="6">
        <v>0.26</v>
      </c>
      <c r="K43" s="6">
        <f t="shared" si="0"/>
        <v>4.34</v>
      </c>
      <c r="L43" s="6">
        <v>521.5</v>
      </c>
      <c r="M43" s="9">
        <v>18.03</v>
      </c>
      <c r="N43" s="11">
        <v>147</v>
      </c>
    </row>
    <row r="44" spans="1:14" ht="19.95" customHeight="1" thickBot="1" x14ac:dyDescent="0.4">
      <c r="A44" s="2">
        <v>15</v>
      </c>
      <c r="B44" s="136" t="s">
        <v>87</v>
      </c>
      <c r="C44" s="137">
        <v>20</v>
      </c>
      <c r="D44" s="6">
        <v>3.58</v>
      </c>
      <c r="E44" s="6">
        <v>2.36</v>
      </c>
      <c r="F44" s="7">
        <v>3.6999999999999998E-2</v>
      </c>
      <c r="G44" s="5">
        <v>2.9000000000000001E-2</v>
      </c>
      <c r="H44" s="3">
        <v>0.04</v>
      </c>
      <c r="I44" s="7">
        <v>1.4999999999999999E-2</v>
      </c>
      <c r="J44" s="6">
        <v>0.2</v>
      </c>
      <c r="K44" s="6">
        <f t="shared" si="0"/>
        <v>4.3666666666666671</v>
      </c>
      <c r="L44" s="6">
        <v>469</v>
      </c>
      <c r="M44" s="9">
        <v>12.9</v>
      </c>
      <c r="N44" s="11">
        <v>147</v>
      </c>
    </row>
    <row r="45" spans="1:14" ht="19.95" customHeight="1" thickBot="1" x14ac:dyDescent="0.4">
      <c r="A45" s="2">
        <v>16</v>
      </c>
      <c r="B45" s="136" t="s">
        <v>88</v>
      </c>
      <c r="C45" s="137">
        <v>7</v>
      </c>
      <c r="D45" s="4">
        <v>3.4</v>
      </c>
      <c r="E45" s="4">
        <v>2.31</v>
      </c>
      <c r="F45" s="5">
        <v>4.7E-2</v>
      </c>
      <c r="G45" s="5">
        <v>1.9E-2</v>
      </c>
      <c r="H45" s="3">
        <v>3.9E-2</v>
      </c>
      <c r="I45" s="5">
        <v>1.4999999999999999E-2</v>
      </c>
      <c r="J45" s="4">
        <v>0.17</v>
      </c>
      <c r="K45" s="6">
        <f t="shared" si="0"/>
        <v>4.17</v>
      </c>
      <c r="L45" s="6">
        <v>478.7</v>
      </c>
      <c r="M45" s="9">
        <v>18.61</v>
      </c>
      <c r="N45" s="11">
        <v>153</v>
      </c>
    </row>
    <row r="46" spans="1:14" ht="19.95" customHeight="1" thickBot="1" x14ac:dyDescent="0.4">
      <c r="A46" s="2">
        <v>17</v>
      </c>
      <c r="B46" s="136" t="s">
        <v>89</v>
      </c>
      <c r="C46" s="137">
        <v>8</v>
      </c>
      <c r="D46" s="4">
        <v>3.38</v>
      </c>
      <c r="E46" s="4">
        <v>2.29</v>
      </c>
      <c r="F46" s="5">
        <v>4.5999999999999999E-2</v>
      </c>
      <c r="G46" s="5">
        <v>1.9E-2</v>
      </c>
      <c r="H46" s="3">
        <v>0.04</v>
      </c>
      <c r="I46" s="5">
        <v>1.4999999999999999E-2</v>
      </c>
      <c r="J46" s="4">
        <v>0.18</v>
      </c>
      <c r="K46" s="6">
        <f t="shared" si="0"/>
        <v>4.1433333333333335</v>
      </c>
      <c r="L46" s="6">
        <v>510.9</v>
      </c>
      <c r="M46" s="9">
        <v>11.57</v>
      </c>
      <c r="N46" s="11">
        <v>153</v>
      </c>
    </row>
    <row r="47" spans="1:14" ht="19.95" customHeight="1" thickBot="1" x14ac:dyDescent="0.4">
      <c r="A47" s="2">
        <v>18</v>
      </c>
      <c r="B47" s="136" t="s">
        <v>90</v>
      </c>
      <c r="C47" s="137">
        <v>9</v>
      </c>
      <c r="D47" s="4">
        <v>3.68</v>
      </c>
      <c r="E47" s="4">
        <v>2.13</v>
      </c>
      <c r="F47" s="5">
        <v>4.8000000000000001E-2</v>
      </c>
      <c r="G47" s="5">
        <v>2.5000000000000001E-2</v>
      </c>
      <c r="H47" s="3">
        <v>0.04</v>
      </c>
      <c r="I47" s="5">
        <v>1.4E-2</v>
      </c>
      <c r="J47" s="4">
        <v>0.17</v>
      </c>
      <c r="K47" s="6">
        <f t="shared" si="0"/>
        <v>4.3900000000000006</v>
      </c>
      <c r="L47" s="6">
        <v>472.7</v>
      </c>
      <c r="M47" s="9">
        <v>13.84</v>
      </c>
      <c r="N47" s="11">
        <v>153</v>
      </c>
    </row>
    <row r="48" spans="1:14" ht="19.95" customHeight="1" thickBot="1" x14ac:dyDescent="0.4">
      <c r="A48" s="2">
        <v>19</v>
      </c>
      <c r="B48" s="136" t="s">
        <v>91</v>
      </c>
      <c r="C48" s="137">
        <v>10</v>
      </c>
      <c r="D48" s="4">
        <v>3.77</v>
      </c>
      <c r="E48" s="4">
        <v>2.25</v>
      </c>
      <c r="F48" s="5">
        <v>6.8000000000000005E-2</v>
      </c>
      <c r="G48" s="5">
        <v>2.3E-2</v>
      </c>
      <c r="H48" s="3">
        <v>3.7999999999999999E-2</v>
      </c>
      <c r="I48" s="5">
        <v>1.4E-2</v>
      </c>
      <c r="J48" s="4">
        <v>0.17</v>
      </c>
      <c r="K48" s="6">
        <f t="shared" si="0"/>
        <v>4.5199999999999996</v>
      </c>
      <c r="L48" s="6">
        <v>471.6</v>
      </c>
      <c r="M48" s="9">
        <v>16.239999999999998</v>
      </c>
      <c r="N48" s="11">
        <v>153</v>
      </c>
    </row>
    <row r="49" spans="1:14" ht="19.95" customHeight="1" thickBot="1" x14ac:dyDescent="0.4">
      <c r="A49" s="2">
        <v>20</v>
      </c>
      <c r="B49" s="136" t="s">
        <v>92</v>
      </c>
      <c r="C49" s="137">
        <v>11</v>
      </c>
      <c r="D49" s="4">
        <v>3.78</v>
      </c>
      <c r="E49" s="4">
        <v>2.37</v>
      </c>
      <c r="F49" s="5">
        <v>6.5000000000000002E-2</v>
      </c>
      <c r="G49" s="5">
        <v>2.5000000000000001E-2</v>
      </c>
      <c r="H49" s="3">
        <v>3.9E-2</v>
      </c>
      <c r="I49" s="5">
        <v>1.2999999999999999E-2</v>
      </c>
      <c r="J49" s="4">
        <v>0.17</v>
      </c>
      <c r="K49" s="6">
        <f t="shared" si="0"/>
        <v>4.57</v>
      </c>
      <c r="L49" s="6">
        <v>487.6</v>
      </c>
      <c r="M49" s="9">
        <v>16.5</v>
      </c>
      <c r="N49" s="11">
        <v>153</v>
      </c>
    </row>
    <row r="50" spans="1:14" ht="19.95" customHeight="1" thickBot="1" x14ac:dyDescent="0.4">
      <c r="A50" s="2">
        <v>21</v>
      </c>
      <c r="B50" s="136" t="s">
        <v>93</v>
      </c>
      <c r="C50" s="137">
        <v>12</v>
      </c>
      <c r="D50" s="4">
        <v>3.44</v>
      </c>
      <c r="E50" s="4">
        <v>2.2200000000000002</v>
      </c>
      <c r="F50" s="5">
        <v>4.3999999999999997E-2</v>
      </c>
      <c r="G50" s="5">
        <v>1.7999999999999999E-2</v>
      </c>
      <c r="H50" s="3">
        <v>3.7999999999999999E-2</v>
      </c>
      <c r="I50" s="5">
        <v>1.4999999999999999E-2</v>
      </c>
      <c r="J50" s="4">
        <v>0.17</v>
      </c>
      <c r="K50" s="6">
        <f t="shared" si="0"/>
        <v>4.18</v>
      </c>
      <c r="L50" s="6">
        <v>492</v>
      </c>
      <c r="M50" s="9">
        <v>14.62</v>
      </c>
      <c r="N50" s="11">
        <v>153</v>
      </c>
    </row>
    <row r="51" spans="1:14" ht="19.95" customHeight="1" thickBot="1" x14ac:dyDescent="0.4">
      <c r="A51" s="2">
        <v>22</v>
      </c>
      <c r="B51" s="136" t="s">
        <v>94</v>
      </c>
      <c r="C51" s="137">
        <v>14</v>
      </c>
      <c r="D51" s="4">
        <v>3.4</v>
      </c>
      <c r="E51" s="4">
        <v>2</v>
      </c>
      <c r="F51" s="5">
        <v>4.4999999999999998E-2</v>
      </c>
      <c r="G51" s="5">
        <v>1.6E-2</v>
      </c>
      <c r="H51" s="3">
        <v>3.5000000000000003E-2</v>
      </c>
      <c r="I51" s="5">
        <v>8.9999999999999993E-3</v>
      </c>
      <c r="J51" s="4">
        <v>0.17</v>
      </c>
      <c r="K51" s="6">
        <f t="shared" si="0"/>
        <v>4.0666666666666664</v>
      </c>
      <c r="L51" s="6">
        <v>504.9</v>
      </c>
      <c r="M51" s="9">
        <v>14.5</v>
      </c>
      <c r="N51" s="11">
        <v>153</v>
      </c>
    </row>
    <row r="52" spans="1:14" ht="19.95" customHeight="1" thickBot="1" x14ac:dyDescent="0.4">
      <c r="A52" s="2">
        <v>23</v>
      </c>
      <c r="B52" s="136" t="s">
        <v>95</v>
      </c>
      <c r="C52" s="137">
        <v>15</v>
      </c>
      <c r="D52" s="4">
        <v>3.78</v>
      </c>
      <c r="E52" s="4">
        <v>2.4300000000000002</v>
      </c>
      <c r="F52" s="5">
        <v>4.5999999999999999E-2</v>
      </c>
      <c r="G52" s="5">
        <v>6.6000000000000003E-2</v>
      </c>
      <c r="H52" s="3">
        <v>3.7999999999999999E-2</v>
      </c>
      <c r="I52" s="5">
        <v>1.2999999999999999E-2</v>
      </c>
      <c r="J52" s="4">
        <v>0.18</v>
      </c>
      <c r="K52" s="6">
        <f t="shared" si="0"/>
        <v>4.59</v>
      </c>
      <c r="L52" s="6">
        <v>507.9</v>
      </c>
      <c r="M52" s="9">
        <v>15.08</v>
      </c>
      <c r="N52" s="11">
        <v>153</v>
      </c>
    </row>
    <row r="53" spans="1:14" ht="19.95" customHeight="1" thickBot="1" x14ac:dyDescent="0.4">
      <c r="A53" s="2">
        <v>24</v>
      </c>
      <c r="B53" s="136" t="s">
        <v>96</v>
      </c>
      <c r="C53" s="137">
        <v>16</v>
      </c>
      <c r="D53" s="4">
        <v>3.62</v>
      </c>
      <c r="E53" s="4">
        <v>2.38</v>
      </c>
      <c r="F53" s="5">
        <v>4.3999999999999997E-2</v>
      </c>
      <c r="G53" s="5">
        <v>6.9000000000000006E-2</v>
      </c>
      <c r="H53" s="3">
        <v>3.7999999999999999E-2</v>
      </c>
      <c r="I53" s="5">
        <v>1.4999999999999999E-2</v>
      </c>
      <c r="J53" s="4">
        <v>0.18</v>
      </c>
      <c r="K53" s="6">
        <f t="shared" si="0"/>
        <v>4.4133333333333331</v>
      </c>
      <c r="L53" s="6">
        <v>468.9</v>
      </c>
      <c r="M53" s="9">
        <v>17.91</v>
      </c>
      <c r="N53" s="11">
        <v>153</v>
      </c>
    </row>
    <row r="54" spans="1:14" ht="19.95" customHeight="1" thickBot="1" x14ac:dyDescent="0.4">
      <c r="A54" s="2">
        <v>25</v>
      </c>
      <c r="B54" s="136" t="s">
        <v>97</v>
      </c>
      <c r="C54" s="137">
        <v>17</v>
      </c>
      <c r="D54" s="4">
        <v>3.61</v>
      </c>
      <c r="E54" s="4">
        <v>2.27</v>
      </c>
      <c r="F54" s="5">
        <v>4.2000000000000003E-2</v>
      </c>
      <c r="G54" s="5">
        <v>6.9000000000000006E-2</v>
      </c>
      <c r="H54" s="3">
        <v>3.7999999999999999E-2</v>
      </c>
      <c r="I54" s="5">
        <v>1.4E-2</v>
      </c>
      <c r="J54" s="4">
        <v>0.18</v>
      </c>
      <c r="K54" s="6">
        <f t="shared" si="0"/>
        <v>4.3666666666666663</v>
      </c>
      <c r="L54" s="6">
        <v>472.8</v>
      </c>
      <c r="M54" s="9">
        <v>12.67</v>
      </c>
      <c r="N54" s="11">
        <v>153</v>
      </c>
    </row>
    <row r="55" spans="1:14" ht="19.95" customHeight="1" thickBot="1" x14ac:dyDescent="0.4">
      <c r="A55" s="2">
        <v>26</v>
      </c>
      <c r="B55" s="136" t="s">
        <v>98</v>
      </c>
      <c r="C55" s="137">
        <v>18</v>
      </c>
      <c r="D55" s="4">
        <v>3.65</v>
      </c>
      <c r="E55" s="4">
        <v>2.27</v>
      </c>
      <c r="F55" s="5">
        <v>3.9E-2</v>
      </c>
      <c r="G55" s="5">
        <v>6.6000000000000003E-2</v>
      </c>
      <c r="H55" s="3">
        <v>3.6999999999999998E-2</v>
      </c>
      <c r="I55" s="5">
        <v>1.4999999999999999E-2</v>
      </c>
      <c r="J55" s="4">
        <v>0.18</v>
      </c>
      <c r="K55" s="6">
        <f t="shared" si="0"/>
        <v>4.4066666666666663</v>
      </c>
      <c r="L55" s="6">
        <v>480</v>
      </c>
      <c r="M55" s="9">
        <v>15.4</v>
      </c>
      <c r="N55" s="11">
        <v>153</v>
      </c>
    </row>
    <row r="56" spans="1:14" ht="19.95" customHeight="1" thickBot="1" x14ac:dyDescent="0.4">
      <c r="A56" s="2">
        <v>27</v>
      </c>
      <c r="B56" s="136" t="s">
        <v>102</v>
      </c>
      <c r="C56" s="137">
        <v>19</v>
      </c>
      <c r="D56" s="4">
        <v>3.66</v>
      </c>
      <c r="E56" s="4">
        <v>2.6</v>
      </c>
      <c r="F56" s="5">
        <v>3.5000000000000003E-2</v>
      </c>
      <c r="G56" s="5">
        <v>1.7999999999999999E-2</v>
      </c>
      <c r="H56" s="3">
        <v>3.4000000000000002E-2</v>
      </c>
      <c r="I56" s="5">
        <v>0.02</v>
      </c>
      <c r="J56" s="4">
        <v>0.19</v>
      </c>
      <c r="K56" s="6">
        <f t="shared" si="0"/>
        <v>4.5266666666666673</v>
      </c>
      <c r="L56" s="6">
        <v>475.2</v>
      </c>
      <c r="M56" s="9">
        <v>13.09</v>
      </c>
      <c r="N56" s="11">
        <v>153</v>
      </c>
    </row>
    <row r="57" spans="1:14" ht="19.5" customHeight="1" thickBot="1" x14ac:dyDescent="0.4">
      <c r="A57" s="2">
        <v>28</v>
      </c>
      <c r="B57" s="136" t="s">
        <v>99</v>
      </c>
      <c r="C57" s="137">
        <v>20</v>
      </c>
      <c r="D57" s="4">
        <v>3.67</v>
      </c>
      <c r="E57" s="4">
        <v>2.56</v>
      </c>
      <c r="F57" s="5">
        <v>3.2000000000000001E-2</v>
      </c>
      <c r="G57" s="5">
        <v>1.6E-2</v>
      </c>
      <c r="H57" s="3">
        <v>3.3000000000000002E-2</v>
      </c>
      <c r="I57" s="5">
        <v>1.6E-2</v>
      </c>
      <c r="J57" s="4">
        <v>0.19</v>
      </c>
      <c r="K57" s="6">
        <f t="shared" si="0"/>
        <v>4.5233333333333334</v>
      </c>
      <c r="L57" s="6">
        <v>506</v>
      </c>
      <c r="M57" s="9">
        <v>19.239999999999998</v>
      </c>
      <c r="N57" s="11">
        <v>153</v>
      </c>
    </row>
    <row r="58" spans="1:14" ht="19.95" customHeight="1" thickBot="1" x14ac:dyDescent="0.4">
      <c r="A58" s="2">
        <v>29</v>
      </c>
      <c r="B58" s="136" t="s">
        <v>100</v>
      </c>
      <c r="C58" s="137">
        <v>21</v>
      </c>
      <c r="D58" s="4">
        <v>3.63</v>
      </c>
      <c r="E58" s="4">
        <v>2.67</v>
      </c>
      <c r="F58" s="5">
        <v>4.5999999999999999E-2</v>
      </c>
      <c r="G58" s="5">
        <v>1.7000000000000001E-2</v>
      </c>
      <c r="H58" s="3">
        <v>3.4000000000000002E-2</v>
      </c>
      <c r="I58" s="5">
        <v>1.4999999999999999E-2</v>
      </c>
      <c r="J58" s="4">
        <v>0.19</v>
      </c>
      <c r="K58" s="6">
        <f t="shared" si="0"/>
        <v>4.5199999999999996</v>
      </c>
      <c r="L58" s="6">
        <v>492</v>
      </c>
      <c r="M58" s="9">
        <v>19.95</v>
      </c>
      <c r="N58" s="11">
        <v>153</v>
      </c>
    </row>
    <row r="59" spans="1:14" ht="19.95" customHeight="1" thickBot="1" x14ac:dyDescent="0.4">
      <c r="A59" s="2">
        <v>30</v>
      </c>
      <c r="B59" s="136" t="s">
        <v>101</v>
      </c>
      <c r="C59" s="137">
        <v>26</v>
      </c>
      <c r="D59" s="4">
        <v>3.56</v>
      </c>
      <c r="E59" s="4">
        <v>2.15</v>
      </c>
      <c r="F59" s="5">
        <v>3.4000000000000002E-2</v>
      </c>
      <c r="G59" s="5">
        <v>2.9000000000000001E-2</v>
      </c>
      <c r="H59" s="3">
        <v>3.5000000000000003E-2</v>
      </c>
      <c r="I59" s="5">
        <v>1.9E-2</v>
      </c>
      <c r="J59" s="4">
        <v>0.18</v>
      </c>
      <c r="K59" s="6">
        <f t="shared" si="0"/>
        <v>4.2766666666666664</v>
      </c>
      <c r="L59" s="6">
        <v>489.2</v>
      </c>
      <c r="M59" s="9">
        <v>15.07</v>
      </c>
      <c r="N59" s="11">
        <v>153</v>
      </c>
    </row>
    <row r="60" spans="1:14" ht="54.6" customHeight="1" x14ac:dyDescent="0.3">
      <c r="A60" s="129" t="s">
        <v>21</v>
      </c>
      <c r="B60" s="130"/>
      <c r="C60" s="130"/>
      <c r="D60" s="130"/>
      <c r="E60" s="130"/>
      <c r="F60" s="130"/>
      <c r="G60" s="130"/>
      <c r="H60" s="130"/>
      <c r="I60" s="130"/>
      <c r="J60" s="130"/>
      <c r="K60" s="130"/>
      <c r="L60" s="130"/>
      <c r="M60" s="130"/>
      <c r="N60" s="131"/>
    </row>
    <row r="61" spans="1:14" ht="25.95" customHeight="1" x14ac:dyDescent="0.3">
      <c r="A61" s="132" t="s">
        <v>13</v>
      </c>
      <c r="B61" s="133"/>
      <c r="C61" s="133"/>
      <c r="D61" s="133"/>
      <c r="E61" s="133"/>
      <c r="F61" s="133"/>
      <c r="G61" s="134"/>
      <c r="H61" s="132" t="s">
        <v>14</v>
      </c>
      <c r="I61" s="133"/>
      <c r="J61" s="133"/>
      <c r="K61" s="133"/>
      <c r="L61" s="133"/>
      <c r="M61" s="133"/>
      <c r="N61" s="134"/>
    </row>
    <row r="62" spans="1:14" ht="15.6" customHeight="1" x14ac:dyDescent="0.3">
      <c r="A62" s="114" t="s">
        <v>23</v>
      </c>
      <c r="B62" s="115"/>
      <c r="C62" s="115"/>
      <c r="D62" s="115"/>
      <c r="E62" s="115"/>
      <c r="F62" s="115"/>
      <c r="G62" s="116"/>
      <c r="H62" s="114" t="s">
        <v>22</v>
      </c>
      <c r="I62" s="115"/>
      <c r="J62" s="115"/>
      <c r="K62" s="115"/>
      <c r="L62" s="115"/>
      <c r="M62" s="115"/>
      <c r="N62" s="116"/>
    </row>
    <row r="63" spans="1:14" ht="68.400000000000006" customHeight="1" x14ac:dyDescent="0.3">
      <c r="A63" s="120"/>
      <c r="B63" s="121"/>
      <c r="C63" s="121"/>
      <c r="D63" s="121"/>
      <c r="E63" s="121"/>
      <c r="F63" s="121"/>
      <c r="G63" s="122"/>
      <c r="H63" s="120"/>
      <c r="I63" s="121"/>
      <c r="J63" s="121"/>
      <c r="K63" s="121"/>
      <c r="L63" s="121"/>
      <c r="M63" s="121"/>
      <c r="N63" s="122"/>
    </row>
  </sheetData>
  <mergeCells count="92">
    <mergeCell ref="B58:C58"/>
    <mergeCell ref="B59:C59"/>
    <mergeCell ref="B53:C53"/>
    <mergeCell ref="B54:C54"/>
    <mergeCell ref="B55:C55"/>
    <mergeCell ref="B56:C56"/>
    <mergeCell ref="B57:C57"/>
    <mergeCell ref="B48:C48"/>
    <mergeCell ref="B49:C49"/>
    <mergeCell ref="B50:C50"/>
    <mergeCell ref="B51:C51"/>
    <mergeCell ref="B52:C52"/>
    <mergeCell ref="B43:C43"/>
    <mergeCell ref="B44:C44"/>
    <mergeCell ref="B45:C45"/>
    <mergeCell ref="B46:C46"/>
    <mergeCell ref="B47:C47"/>
    <mergeCell ref="B38:C38"/>
    <mergeCell ref="B39:C39"/>
    <mergeCell ref="B40:C40"/>
    <mergeCell ref="B41:C41"/>
    <mergeCell ref="B42:C42"/>
    <mergeCell ref="L28:N28"/>
    <mergeCell ref="A62:G63"/>
    <mergeCell ref="H62:N63"/>
    <mergeCell ref="A60:N60"/>
    <mergeCell ref="A61:G61"/>
    <mergeCell ref="H61:N61"/>
    <mergeCell ref="B29:C29"/>
    <mergeCell ref="B30:C30"/>
    <mergeCell ref="B31:C31"/>
    <mergeCell ref="B32:C32"/>
    <mergeCell ref="B33:C33"/>
    <mergeCell ref="B34:C34"/>
    <mergeCell ref="B35:C35"/>
    <mergeCell ref="B36:C36"/>
    <mergeCell ref="B37:C37"/>
    <mergeCell ref="D25:G25"/>
    <mergeCell ref="H25:L25"/>
    <mergeCell ref="B26:C26"/>
    <mergeCell ref="D26:G26"/>
    <mergeCell ref="H26:L26"/>
    <mergeCell ref="L14:N14"/>
    <mergeCell ref="A19:N19"/>
    <mergeCell ref="J15:K17"/>
    <mergeCell ref="A12:I12"/>
    <mergeCell ref="J12:N12"/>
    <mergeCell ref="A13:N13"/>
    <mergeCell ref="A14:C14"/>
    <mergeCell ref="D14:E14"/>
    <mergeCell ref="F14:G14"/>
    <mergeCell ref="H14:I14"/>
    <mergeCell ref="J14:K14"/>
    <mergeCell ref="A15:C17"/>
    <mergeCell ref="A18:N18"/>
    <mergeCell ref="M21:N22"/>
    <mergeCell ref="D15:E17"/>
    <mergeCell ref="F15:G17"/>
    <mergeCell ref="H15:I17"/>
    <mergeCell ref="L1:N6"/>
    <mergeCell ref="A8:K8"/>
    <mergeCell ref="L8:N8"/>
    <mergeCell ref="A9:N9"/>
    <mergeCell ref="A10:I10"/>
    <mergeCell ref="J10:N10"/>
    <mergeCell ref="A11:I11"/>
    <mergeCell ref="J11:N11"/>
    <mergeCell ref="A1:C6"/>
    <mergeCell ref="D1:K6"/>
    <mergeCell ref="A7:K7"/>
    <mergeCell ref="L7:N7"/>
    <mergeCell ref="L15:N15"/>
    <mergeCell ref="L16:N16"/>
    <mergeCell ref="L17:N17"/>
    <mergeCell ref="D20:E20"/>
    <mergeCell ref="M20:N20"/>
    <mergeCell ref="A27:N27"/>
    <mergeCell ref="B28:K28"/>
    <mergeCell ref="A24:N24"/>
    <mergeCell ref="B25:C25"/>
    <mergeCell ref="B20:C20"/>
    <mergeCell ref="B21:C22"/>
    <mergeCell ref="A20:A22"/>
    <mergeCell ref="A25:A26"/>
    <mergeCell ref="D21:E22"/>
    <mergeCell ref="F21:F22"/>
    <mergeCell ref="G21:G22"/>
    <mergeCell ref="H21:H22"/>
    <mergeCell ref="I21:I22"/>
    <mergeCell ref="J21:J22"/>
    <mergeCell ref="K21:K22"/>
    <mergeCell ref="L21:L22"/>
  </mergeCells>
  <phoneticPr fontId="3" type="noConversion"/>
  <conditionalFormatting sqref="M30">
    <cfRule type="cellIs" dxfId="0" priority="1" operator="lessThan">
      <formula>10</formula>
    </cfRule>
  </conditionalFormatting>
  <pageMargins left="0.27" right="0.19" top="0.68" bottom="0.42" header="0.3" footer="0.3"/>
  <pageSetup scale="3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Sheet2</vt:lpstr>
      <vt:lpstr>Sheet2!Print_Area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Elkomy</cp:lastModifiedBy>
  <cp:lastPrinted>2026-04-28T11:10:41Z</cp:lastPrinted>
  <dcterms:created xsi:type="dcterms:W3CDTF">2026-04-14T07:03:30Z</dcterms:created>
  <dcterms:modified xsi:type="dcterms:W3CDTF">2026-04-28T12:29:23Z</dcterms:modified>
</cp:coreProperties>
</file>